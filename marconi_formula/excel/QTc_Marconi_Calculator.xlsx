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c Calculator" sheetId="1" state="visible" r:id="rId1"/>
    <sheet xmlns:r="http://schemas.openxmlformats.org/officeDocument/2006/relationships" name="Batch Calculator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0000FF"/>
      <sz val="11"/>
    </font>
    <font>
      <b val="1"/>
      <sz val="12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5" fillId="4" borderId="1" applyAlignment="1" pivotButton="0" quotePrefix="0" xfId="0">
      <alignment horizontal="center"/>
    </xf>
    <xf numFmtId="2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0" customWidth="1" min="3" max="3"/>
  </cols>
  <sheetData>
    <row r="1">
      <c r="A1" s="1" t="inlineStr">
        <is>
          <t>MARCONI QTc FORMULA CALCULATOR</t>
        </is>
      </c>
    </row>
    <row r="3">
      <c r="A3" s="2" t="inlineStr">
        <is>
          <t>Formula: QTc = QT + 125/RR - 158</t>
        </is>
      </c>
    </row>
    <row r="5">
      <c r="A5" s="3" t="inlineStr">
        <is>
          <t>INPUT VALUES</t>
        </is>
      </c>
    </row>
    <row r="7">
      <c r="A7" t="inlineStr">
        <is>
          <t>QT interval (ms):</t>
        </is>
      </c>
      <c r="B7" s="4" t="n">
        <v>380</v>
      </c>
    </row>
    <row r="8">
      <c r="A8" t="inlineStr">
        <is>
          <t>Heart Rate (bpm):</t>
        </is>
      </c>
      <c r="B8" s="4" t="n">
        <v>75</v>
      </c>
    </row>
    <row r="9">
      <c r="A9" t="inlineStr">
        <is>
          <t>Sex (M=0, F=1):</t>
        </is>
      </c>
      <c r="B9" s="4" t="n">
        <v>0</v>
      </c>
    </row>
    <row r="11">
      <c r="A11" t="inlineStr">
        <is>
          <t>RR interval (sec):</t>
        </is>
      </c>
      <c r="B11" s="5">
        <f>60/B8</f>
        <v/>
      </c>
    </row>
    <row r="13">
      <c r="A13" s="3" t="inlineStr">
        <is>
          <t>RESULTS</t>
        </is>
      </c>
    </row>
    <row r="15">
      <c r="A15" t="inlineStr">
        <is>
          <t>QTc Marconi (ms):</t>
        </is>
      </c>
      <c r="B15" s="6">
        <f>B7+125/B11-158</f>
        <v/>
      </c>
    </row>
    <row r="16">
      <c r="A16" t="inlineStr">
        <is>
          <t>QTc Bazett (ms):</t>
        </is>
      </c>
      <c r="B16" s="5">
        <f>B7/SQRT(B11)</f>
        <v/>
      </c>
    </row>
    <row r="17">
      <c r="A17" t="inlineStr">
        <is>
          <t>QTc Fridericia (ms):</t>
        </is>
      </c>
      <c r="B17" s="5">
        <f>B7/POWER(B11,1/3)</f>
        <v/>
      </c>
    </row>
    <row r="18">
      <c r="A18" t="inlineStr">
        <is>
          <t>QTc Framingham (ms):</t>
        </is>
      </c>
      <c r="B18" s="5">
        <f>B7+154*(1-B11)</f>
        <v/>
      </c>
    </row>
    <row r="19">
      <c r="A19" t="inlineStr">
        <is>
          <t>QTc Hodges (ms):</t>
        </is>
      </c>
      <c r="B19" s="5">
        <f>B7+1.75*(B8-60)</f>
        <v/>
      </c>
    </row>
    <row r="21">
      <c r="A21" s="3" t="inlineStr">
        <is>
          <t>CLASSIFICATION</t>
        </is>
      </c>
    </row>
    <row r="23">
      <c r="A23" t="inlineStr">
        <is>
          <t>Threshold (ms):</t>
        </is>
      </c>
      <c r="B23">
        <f>IF(B9=0,450,460)</f>
        <v/>
      </c>
      <c r="C23" t="inlineStr">
        <is>
          <t>(450 for M, 460 for F)</t>
        </is>
      </c>
    </row>
    <row r="24">
      <c r="A24" t="inlineStr">
        <is>
          <t>Classification:</t>
        </is>
      </c>
      <c r="B24" s="6">
        <f>IF(B15&lt;B23,"Normal",IF(B15&lt;470,"Borderline",IF(B15&lt;500,"Prolonged","High Risk")))</f>
        <v/>
      </c>
    </row>
    <row r="26">
      <c r="A26" s="3" t="inlineStr">
        <is>
          <t>COMPARISON vs BAZETT</t>
        </is>
      </c>
    </row>
    <row r="28">
      <c r="A28" t="inlineStr">
        <is>
          <t>Difference (ms):</t>
        </is>
      </c>
      <c r="B28" s="5">
        <f>B15-B16</f>
        <v/>
      </c>
    </row>
    <row r="29">
      <c r="A29" t="inlineStr">
        <is>
          <t>Marconi lower by:</t>
        </is>
      </c>
      <c r="B29">
        <f>ABS(B28)</f>
        <v/>
      </c>
      <c r="C29" t="inlineStr">
        <is>
          <t>ms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7" t="inlineStr">
        <is>
          <t>QT (ms)</t>
        </is>
      </c>
      <c r="B1" s="7" t="inlineStr">
        <is>
          <t>HR (bpm)</t>
        </is>
      </c>
      <c r="C1" s="7" t="inlineStr">
        <is>
          <t>Sex</t>
        </is>
      </c>
      <c r="D1" s="7" t="inlineStr">
        <is>
          <t>RR (sec)</t>
        </is>
      </c>
      <c r="E1" s="7" t="inlineStr">
        <is>
          <t>QTc Marconi</t>
        </is>
      </c>
      <c r="F1" s="7" t="inlineStr">
        <is>
          <t>QTc Bazett</t>
        </is>
      </c>
      <c r="G1" s="7" t="inlineStr">
        <is>
          <t>Difference</t>
        </is>
      </c>
      <c r="H1" s="7" t="inlineStr">
        <is>
          <t>Classification</t>
        </is>
      </c>
    </row>
    <row r="2">
      <c r="A2" s="5" t="n">
        <v>350</v>
      </c>
      <c r="B2" s="5" t="n">
        <v>60</v>
      </c>
      <c r="C2" s="5" t="n">
        <v>0</v>
      </c>
      <c r="D2" s="8">
        <f>60/B2</f>
        <v/>
      </c>
      <c r="E2" s="9">
        <f>A2+125/D2-158</f>
        <v/>
      </c>
      <c r="F2" s="10">
        <f>A2/SQRT(D2)</f>
        <v/>
      </c>
      <c r="G2" s="10">
        <f>E2-F2</f>
        <v/>
      </c>
      <c r="H2" s="5">
        <f>IF(E2&lt;IF(C2=0,450,460),"Normal",IF(E2&lt;470,"Borderline",IF(E2&lt;500,"Prolonged","High Risk")))</f>
        <v/>
      </c>
    </row>
    <row r="3">
      <c r="A3" s="5" t="n">
        <v>380</v>
      </c>
      <c r="B3" s="5" t="n">
        <v>75</v>
      </c>
      <c r="C3" s="5" t="n">
        <v>0</v>
      </c>
      <c r="D3" s="8">
        <f>60/B3</f>
        <v/>
      </c>
      <c r="E3" s="9">
        <f>A3+125/D3-158</f>
        <v/>
      </c>
      <c r="F3" s="10">
        <f>A3/SQRT(D3)</f>
        <v/>
      </c>
      <c r="G3" s="10">
        <f>E3-F3</f>
        <v/>
      </c>
      <c r="H3" s="5">
        <f>IF(E3&lt;IF(C3=0,450,460),"Normal",IF(E3&lt;470,"Borderline",IF(E3&lt;500,"Prolonged","High Risk")))</f>
        <v/>
      </c>
    </row>
    <row r="4">
      <c r="A4" s="5" t="n">
        <v>400</v>
      </c>
      <c r="B4" s="5" t="n">
        <v>90</v>
      </c>
      <c r="C4" s="5" t="n">
        <v>1</v>
      </c>
      <c r="D4" s="8">
        <f>60/B4</f>
        <v/>
      </c>
      <c r="E4" s="9">
        <f>A4+125/D4-158</f>
        <v/>
      </c>
      <c r="F4" s="10">
        <f>A4/SQRT(D4)</f>
        <v/>
      </c>
      <c r="G4" s="10">
        <f>E4-F4</f>
        <v/>
      </c>
      <c r="H4" s="5">
        <f>IF(E4&lt;IF(C4=0,450,460),"Normal",IF(E4&lt;470,"Borderline",IF(E4&lt;500,"Prolonged","High Risk")))</f>
        <v/>
      </c>
    </row>
    <row r="5">
      <c r="A5" s="5" t="n">
        <v>420</v>
      </c>
      <c r="B5" s="5" t="n">
        <v>100</v>
      </c>
      <c r="C5" s="5" t="n">
        <v>0</v>
      </c>
      <c r="D5" s="8">
        <f>60/B5</f>
        <v/>
      </c>
      <c r="E5" s="9">
        <f>A5+125/D5-158</f>
        <v/>
      </c>
      <c r="F5" s="10">
        <f>A5/SQRT(D5)</f>
        <v/>
      </c>
      <c r="G5" s="10">
        <f>E5-F5</f>
        <v/>
      </c>
      <c r="H5" s="5">
        <f>IF(E5&lt;IF(C5=0,450,460),"Normal",IF(E5&lt;470,"Borderline",IF(E5&lt;500,"Prolonged","High Risk")))</f>
        <v/>
      </c>
    </row>
    <row r="6">
      <c r="A6" s="5" t="n">
        <v>380</v>
      </c>
      <c r="B6" s="5" t="n">
        <v>50</v>
      </c>
      <c r="C6" s="5" t="n">
        <v>1</v>
      </c>
      <c r="D6" s="8">
        <f>60/B6</f>
        <v/>
      </c>
      <c r="E6" s="9">
        <f>A6+125/D6-158</f>
        <v/>
      </c>
      <c r="F6" s="10">
        <f>A6/SQRT(D6)</f>
        <v/>
      </c>
      <c r="G6" s="10">
        <f>E6-F6</f>
        <v/>
      </c>
      <c r="H6" s="5">
        <f>IF(E6&lt;IF(C6=0,450,460),"Normal",IF(E6&lt;470,"Borderline",IF(E6&lt;500,"Prolonged","High Risk")))</f>
        <v/>
      </c>
    </row>
    <row r="7">
      <c r="A7" s="5" t="n">
        <v>360</v>
      </c>
      <c r="B7" s="5" t="n">
        <v>120</v>
      </c>
      <c r="C7" s="5" t="n">
        <v>0</v>
      </c>
      <c r="D7" s="8">
        <f>60/B7</f>
        <v/>
      </c>
      <c r="E7" s="9">
        <f>A7+125/D7-158</f>
        <v/>
      </c>
      <c r="F7" s="10">
        <f>A7/SQRT(D7)</f>
        <v/>
      </c>
      <c r="G7" s="10">
        <f>E7-F7</f>
        <v/>
      </c>
      <c r="H7" s="5">
        <f>IF(E7&lt;IF(C7=0,450,460),"Normal",IF(E7&lt;470,"Borderline",IF(E7&lt;500,"Prolonged","High Risk")))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MARCONI FORMULA REFERENCE</t>
        </is>
      </c>
    </row>
    <row r="3">
      <c r="A3" t="inlineStr">
        <is>
          <t>Formula:</t>
        </is>
      </c>
      <c r="B3" s="2" t="inlineStr">
        <is>
          <t>QTc = QT + 125/RR - 158</t>
        </is>
      </c>
    </row>
    <row r="5">
      <c r="A5" t="inlineStr">
        <is>
          <t>Variables:</t>
        </is>
      </c>
    </row>
    <row r="6">
      <c r="A6" t="inlineStr">
        <is>
          <t>QTc</t>
        </is>
      </c>
      <c r="B6" t="inlineStr">
        <is>
          <t>Corrected QT interval (ms)</t>
        </is>
      </c>
    </row>
    <row r="7">
      <c r="A7" t="inlineStr">
        <is>
          <t>QT</t>
        </is>
      </c>
      <c r="B7" t="inlineStr">
        <is>
          <t>Measured QT interval (ms)</t>
        </is>
      </c>
    </row>
    <row r="8">
      <c r="A8" t="inlineStr">
        <is>
          <t>RR</t>
        </is>
      </c>
      <c r="B8" t="inlineStr">
        <is>
          <t>RR interval (seconds)</t>
        </is>
      </c>
    </row>
    <row r="10">
      <c r="A10" t="inlineStr">
        <is>
          <t>Coefficients:</t>
        </is>
      </c>
    </row>
    <row r="11">
      <c r="A11" t="inlineStr">
        <is>
          <t>k = 125</t>
        </is>
      </c>
      <c r="B11" t="inlineStr">
        <is>
          <t>Correction coefficient (ms·s)</t>
        </is>
      </c>
    </row>
    <row r="12">
      <c r="A12" t="inlineStr">
        <is>
          <t>c = 158</t>
        </is>
      </c>
      <c r="B12" t="inlineStr">
        <is>
          <t>Calibration constant (ms)</t>
        </is>
      </c>
    </row>
    <row r="14">
      <c r="A14" t="inlineStr">
        <is>
          <t>Clinical Thresholds:</t>
        </is>
      </c>
    </row>
    <row r="15">
      <c r="A15" t="inlineStr">
        <is>
          <t>Normal (M)</t>
        </is>
      </c>
      <c r="B15" t="inlineStr">
        <is>
          <t>&lt; 450 ms</t>
        </is>
      </c>
    </row>
    <row r="16">
      <c r="A16" t="inlineStr">
        <is>
          <t>Normal (F)</t>
        </is>
      </c>
      <c r="B16" t="inlineStr">
        <is>
          <t>&lt; 460 ms</t>
        </is>
      </c>
    </row>
    <row r="17">
      <c r="A17" t="inlineStr">
        <is>
          <t>Borderline</t>
        </is>
      </c>
      <c r="B17" t="inlineStr">
        <is>
          <t>450-470 ms</t>
        </is>
      </c>
    </row>
    <row r="18">
      <c r="A18" t="inlineStr">
        <is>
          <t>Prolonged</t>
        </is>
      </c>
      <c r="B18" t="inlineStr">
        <is>
          <t>470-500 ms</t>
        </is>
      </c>
    </row>
    <row r="19">
      <c r="A19" t="inlineStr">
        <is>
          <t>High Risk</t>
        </is>
      </c>
      <c r="B19" t="inlineStr">
        <is>
          <t>&gt; 500 ms</t>
        </is>
      </c>
    </row>
    <row r="21">
      <c r="A21" t="inlineStr">
        <is>
          <t>RR Conversion:</t>
        </is>
      </c>
    </row>
    <row r="22">
      <c r="A22" t="inlineStr">
        <is>
          <t>RR (sec) = 60 / HR (bpm)</t>
        </is>
      </c>
    </row>
    <row r="24">
      <c r="A24" t="inlineStr">
        <is>
          <t>Reference:</t>
        </is>
      </c>
    </row>
    <row r="25">
      <c r="A25" t="inlineStr">
        <is>
          <t>Marconi A. (2026)</t>
        </is>
      </c>
    </row>
    <row r="26">
      <c r="A26" t="inlineStr">
        <is>
          <t>Validated on 1.2 million ECGs</t>
        </is>
      </c>
    </row>
    <row r="27">
      <c r="A27" t="inlineStr">
        <is>
          <t>8 international datasets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2026-02-10T11:28:25Z</dcterms:created>
  <dcterms:modified xmlns:dcterms="http://purl.org/dc/terms/" xmlns:xsi="http://www.w3.org/2001/XMLSchema-instance" xsi:type="dcterms:W3CDTF">2026-02-10T11:28:25Z</dcterms:modified>
</cp:coreProperties>
</file>